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BB WITH CHOCO SAMPLING ACTV.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<sst xmlns="http://schemas.openxmlformats.org/spreadsheetml/2006/main" count="49" uniqueCount="49">
  <si>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BlueBand Project VIII Budget</t>
  </si>
  <si>
    <r>
      <rPr>
        <b/>
        <sz val="8"/>
        <rFont val="Times New Roman"/>
        <charset val="134"/>
      </rPr>
      <t>Gasabo-Kigali, Rwanda Tel: (250) 784119936,    Email:</t>
    </r>
    <r>
      <rPr>
        <b/>
        <sz val="8"/>
        <color rgb="FF00B050"/>
        <rFont val="Times New Roman"/>
        <charset val="134"/>
      </rPr>
      <t xml:space="preserve">grace.mutavu@iconlinks.rw/gaston.gasana@iconlinks.rw       </t>
    </r>
  </si>
  <si>
    <t>VAT No: 121613285</t>
  </si>
  <si>
    <t>Date: 25th-03-2025</t>
  </si>
  <si>
    <t>PROPOSAL COST BREAKDOWN FOR BLUEBAND PROMO-SAMPLING ACTIVATION PLAN Q2 2025</t>
  </si>
  <si>
    <t>Client:  Flora Food Group</t>
  </si>
  <si>
    <r>
      <rPr>
        <b/>
        <i/>
        <sz val="8"/>
        <rFont val="Times New Roman"/>
        <charset val="134"/>
      </rPr>
      <t xml:space="preserve">Service Type: </t>
    </r>
    <r>
      <rPr>
        <i/>
        <sz val="8"/>
        <rFont val="Times New Roman"/>
        <charset val="134"/>
      </rPr>
      <t xml:space="preserve"> Bundling Promo-Activation in Bakeries for BlueBand Choco Sampling &amp; awareness.</t>
    </r>
  </si>
  <si>
    <t>Item</t>
  </si>
  <si>
    <t>Description</t>
  </si>
  <si>
    <t>Qty/P'ple</t>
  </si>
  <si>
    <t>Days</t>
  </si>
  <si>
    <t>(unit cost)</t>
  </si>
  <si>
    <t>Total</t>
  </si>
  <si>
    <t>Total (USD)</t>
  </si>
  <si>
    <t>Exchange Rate</t>
  </si>
  <si>
    <t>1USD=1,450 frw</t>
  </si>
  <si>
    <t>BAKERY TRADE ACTIVATION(MT)</t>
  </si>
  <si>
    <t>PREP PHASE</t>
  </si>
  <si>
    <t>Team Recruitment and Training</t>
  </si>
  <si>
    <t>Team recuitment for best performing personnel and training</t>
  </si>
  <si>
    <t>Select 50 high traffic Bakery outlets for the Promo-Sampling Activation.</t>
  </si>
  <si>
    <t>High traffic Bakery outlets.</t>
  </si>
  <si>
    <t>CHECKLIST (ITEMS)</t>
  </si>
  <si>
    <t>MT Promo team uniforms</t>
  </si>
  <si>
    <t>Uniform tailoring (Short sleeved + Logo embroidery)</t>
  </si>
  <si>
    <t>ACTIVATION TEAM</t>
  </si>
  <si>
    <t>Brand Ambassadors</t>
  </si>
  <si>
    <t>Team of Brand ambassadors for brand awareness + Bread bandling and customer engagement</t>
  </si>
  <si>
    <t>Supervisor</t>
  </si>
  <si>
    <t>Overall team supervisor wage/Day</t>
  </si>
  <si>
    <t>Supervisor (airtime)</t>
  </si>
  <si>
    <t>Airtime cost /Day</t>
  </si>
  <si>
    <t>SuperVisor (Transport cost)</t>
  </si>
  <si>
    <t>Transport cost /Day</t>
  </si>
  <si>
    <t>Total Project Cost</t>
  </si>
  <si>
    <t>Agency Fee</t>
  </si>
  <si>
    <t>N.Total</t>
  </si>
  <si>
    <t>VAT Incl.</t>
  </si>
  <si>
    <t>Grand Total</t>
  </si>
  <si>
    <t>Make all checks payable to:                                  EQUITY BANK :4013201010606  RWF account (Local Payments)</t>
  </si>
  <si>
    <t>EQUITY Bank: 4013201010605  ( International Transfers/Payments)</t>
  </si>
  <si>
    <t>FINANCE DEPT</t>
  </si>
  <si>
    <t>GRACE MUTAVU</t>
  </si>
  <si>
    <t>TERMS &amp; CONDITIONS</t>
  </si>
  <si>
    <t>* The above quotation is valid for 15 days</t>
  </si>
  <si>
    <t>*LPO or contract to be issued before commencement of the project</t>
  </si>
  <si>
    <t>PAYMENT TERMS</t>
  </si>
  <si>
    <t>50% Advance Payment before commencement of the project.</t>
  </si>
  <si>
    <t xml:space="preserve">     Balance Payment (50%) after Completion.(Within 1-7 days of the Job completion).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</si>
</sst>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$&quot;\ 0.00"/>
  </numFmts>
  <fonts count="34">
    <font>
      <sz val="10"/>
      <color rgb="FF000000"/>
      <name val="Times New Roman"/>
      <charset val="204"/>
    </font>
    <font>
      <sz val="8"/>
      <color rgb="FF000000"/>
      <name val="Times New Roman"/>
      <charset val="134"/>
    </font>
    <font>
      <sz val="8"/>
      <color rgb="FF000000"/>
      <name val="Times New Roman"/>
      <charset val="204"/>
    </font>
    <font>
      <sz val="8"/>
      <name val="Times New Roman"/>
      <charset val="134"/>
    </font>
    <font>
      <b/>
      <sz val="8"/>
      <name val="Times New Roman"/>
      <charset val="134"/>
    </font>
    <font>
      <b/>
      <sz val="8"/>
      <color rgb="FF000000"/>
      <name val="Times New Roman"/>
      <charset val="134"/>
    </font>
    <font>
      <b/>
      <u/>
      <sz val="8"/>
      <name val="Times New Roman"/>
      <charset val="134"/>
    </font>
    <font>
      <b/>
      <i/>
      <sz val="8"/>
      <name val="Times New Roman"/>
      <charset val="134"/>
    </font>
    <font>
      <b/>
      <sz val="9"/>
      <color rgb="FF000000"/>
      <name val="Times New Roman"/>
      <charset val="134"/>
    </font>
    <font>
      <sz val="8"/>
      <color rgb="FF002060"/>
      <name val="Times New Roman"/>
      <charset val="134"/>
    </font>
    <font>
      <b/>
      <sz val="8"/>
      <color rgb="FF00206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00B050"/>
      <name val="Times New Roman"/>
      <charset val="134"/>
    </font>
    <font>
      <i/>
      <sz val="8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7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right" vertical="center" wrapText="1" indent="6"/>
    </xf>
    <xf numFmtId="0" fontId="4" fillId="4" borderId="0" xfId="0" applyFont="1" applyFill="1" applyBorder="1" applyAlignment="1">
      <alignment horizontal="left" vertical="center" wrapText="1" indent="2"/>
    </xf>
    <xf numFmtId="0" fontId="1" fillId="4" borderId="0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vertical="top" wrapText="1"/>
    </xf>
    <xf numFmtId="0" fontId="5" fillId="4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top" wrapText="1" indent="10"/>
    </xf>
    <xf numFmtId="0" fontId="1" fillId="2" borderId="0" xfId="0" applyFont="1" applyFill="1" applyBorder="1" applyAlignment="1">
      <alignment horizontal="left" vertical="top" wrapText="1" indent="10"/>
    </xf>
    <xf numFmtId="0" fontId="7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6" fillId="4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1" fontId="1" fillId="2" borderId="0" xfId="0" applyNumberFormat="1" applyFont="1" applyFill="1" applyBorder="1" applyAlignment="1">
      <alignment horizontal="center" vertical="top" shrinkToFit="1"/>
    </xf>
    <xf numFmtId="4" fontId="1" fillId="2" borderId="0" xfId="0" applyNumberFormat="1" applyFont="1" applyFill="1" applyBorder="1" applyAlignment="1">
      <alignment horizontal="center" vertical="top" shrinkToFit="1"/>
    </xf>
    <xf numFmtId="3" fontId="1" fillId="2" borderId="0" xfId="0" applyNumberFormat="1" applyFont="1" applyFill="1" applyBorder="1" applyAlignment="1">
      <alignment horizontal="center" vertical="top" shrinkToFit="1"/>
    </xf>
    <xf numFmtId="8" fontId="1" fillId="2" borderId="0" xfId="2" applyNumberFormat="1" applyFont="1" applyFill="1" applyBorder="1" applyAlignment="1">
      <alignment vertical="top" shrinkToFi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43" fontId="1" fillId="2" borderId="0" xfId="1" applyFont="1" applyFill="1" applyBorder="1" applyAlignment="1">
      <alignment horizontal="center" wrapText="1"/>
    </xf>
    <xf numFmtId="8" fontId="1" fillId="2" borderId="0" xfId="2" applyNumberFormat="1" applyFont="1" applyFill="1" applyBorder="1" applyAlignment="1">
      <alignment vertical="center" shrinkToFit="1"/>
    </xf>
    <xf numFmtId="43" fontId="1" fillId="2" borderId="0" xfId="1" applyFont="1" applyFill="1" applyBorder="1" applyAlignment="1">
      <alignment wrapText="1"/>
    </xf>
    <xf numFmtId="43" fontId="1" fillId="2" borderId="0" xfId="0" applyNumberFormat="1" applyFont="1" applyFill="1" applyBorder="1" applyAlignment="1">
      <alignment wrapText="1"/>
    </xf>
    <xf numFmtId="8" fontId="1" fillId="2" borderId="0" xfId="2" applyNumberFormat="1" applyFont="1" applyFill="1" applyBorder="1" applyAlignment="1">
      <alignment horizontal="right" vertical="center" wrapText="1"/>
    </xf>
    <xf numFmtId="1" fontId="1" fillId="2" borderId="0" xfId="0" applyNumberFormat="1" applyFont="1" applyFill="1" applyBorder="1" applyAlignment="1">
      <alignment horizontal="center" vertical="center" shrinkToFit="1"/>
    </xf>
    <xf numFmtId="4" fontId="1" fillId="2" borderId="0" xfId="0" applyNumberFormat="1" applyFont="1" applyFill="1" applyBorder="1" applyAlignment="1">
      <alignment vertical="center" shrinkToFit="1"/>
    </xf>
    <xf numFmtId="43" fontId="1" fillId="2" borderId="0" xfId="0" applyNumberFormat="1" applyFont="1" applyFill="1" applyBorder="1" applyAlignment="1">
      <alignment vertical="center" wrapText="1"/>
    </xf>
    <xf numFmtId="0" fontId="1" fillId="4" borderId="0" xfId="0" applyFont="1" applyFill="1" applyBorder="1" applyAlignment="1">
      <alignment horizontal="center" vertical="center" wrapText="1"/>
    </xf>
    <xf numFmtId="43" fontId="8" fillId="4" borderId="0" xfId="0" applyNumberFormat="1" applyFont="1" applyFill="1" applyBorder="1" applyAlignment="1">
      <alignment horizontal="center" vertical="center" wrapText="1"/>
    </xf>
    <xf numFmtId="8" fontId="5" fillId="4" borderId="0" xfId="2" applyNumberFormat="1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center" vertical="top" wrapText="1"/>
    </xf>
    <xf numFmtId="9" fontId="5" fillId="2" borderId="0" xfId="0" applyNumberFormat="1" applyFont="1" applyFill="1" applyBorder="1" applyAlignment="1">
      <alignment horizontal="center" wrapText="1"/>
    </xf>
    <xf numFmtId="43" fontId="8" fillId="2" borderId="0" xfId="1" applyFont="1" applyFill="1" applyBorder="1" applyAlignment="1">
      <alignment horizontal="center" vertical="top" shrinkToFit="1"/>
    </xf>
    <xf numFmtId="8" fontId="5" fillId="2" borderId="0" xfId="2" applyNumberFormat="1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left" wrapText="1"/>
    </xf>
    <xf numFmtId="0" fontId="1" fillId="4" borderId="0" xfId="0" applyFont="1" applyFill="1" applyBorder="1" applyAlignment="1">
      <alignment horizontal="center" wrapText="1"/>
    </xf>
    <xf numFmtId="43" fontId="8" fillId="4" borderId="0" xfId="0" applyNumberFormat="1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vertical="top" wrapText="1"/>
    </xf>
    <xf numFmtId="0" fontId="9" fillId="3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right" vertical="top" wrapText="1"/>
    </xf>
    <xf numFmtId="0" fontId="9" fillId="2" borderId="0" xfId="0" applyFont="1" applyFill="1" applyBorder="1" applyAlignment="1">
      <alignment horizontal="right" wrapText="1"/>
    </xf>
    <xf numFmtId="177" fontId="10" fillId="2" borderId="0" xfId="0" applyNumberFormat="1" applyFont="1" applyFill="1" applyBorder="1" applyAlignment="1">
      <alignment vertical="top" wrapText="1" shrinkToFit="1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right" wrapText="1"/>
    </xf>
    <xf numFmtId="177" fontId="5" fillId="2" borderId="0" xfId="0" applyNumberFormat="1" applyFont="1" applyFill="1" applyBorder="1" applyAlignment="1">
      <alignment horizontal="right" vertical="top" shrinkToFit="1"/>
    </xf>
    <xf numFmtId="0" fontId="4" fillId="2" borderId="0" xfId="0" applyFont="1" applyFill="1" applyBorder="1" applyAlignment="1">
      <alignment horizontal="left" vertical="top" wrapText="1" indent="2"/>
    </xf>
    <xf numFmtId="0" fontId="3" fillId="2" borderId="0" xfId="0" applyFont="1" applyFill="1" applyBorder="1" applyAlignment="1">
      <alignment horizontal="left" vertical="top" wrapText="1" indent="2"/>
    </xf>
    <xf numFmtId="0" fontId="4" fillId="2" borderId="0" xfId="0" applyFont="1" applyFill="1" applyBorder="1" applyAlignment="1">
      <alignment horizontal="left" vertical="top" wrapText="1" indent="6"/>
    </xf>
    <xf numFmtId="0" fontId="3" fillId="2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73025</xdr:colOff>
      <xdr:row>0</xdr:row>
      <xdr:rowOff>97790</xdr:rowOff>
    </xdr:from>
    <xdr:to>
      <xdr:col>1</xdr:col>
      <xdr:colOff>1049655</xdr:colOff>
      <xdr:row>0</xdr:row>
      <xdr:rowOff>525145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4480" y="97790"/>
          <a:ext cx="976630" cy="427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BI170"/>
  <sheetViews>
    <sheetView tabSelected="1" topLeftCell="A13" workbookViewId="0">
      <selection activeCell="G25" sqref="G25"/>
    </sheetView>
  </sheetViews>
  <sheetFormatPr defaultColWidth="9" defaultRowHeight="10.5"/>
  <cols>
    <col min="1" max="1" width="3.33" style="2" customWidth="1"/>
    <col min="2" max="2" width="27.7" style="2" customWidth="1"/>
    <col min="3" max="3" width="40.9" style="2" customWidth="1"/>
    <col min="4" max="4" width="12.66" style="2" customWidth="1"/>
    <col min="5" max="5" width="14" style="2" customWidth="1"/>
    <col min="6" max="6" width="11.8" style="2" customWidth="1"/>
    <col min="7" max="7" width="12.2" style="2" customWidth="1"/>
    <col min="8" max="8" width="13.3" style="2" customWidth="1"/>
    <col min="9" max="9" width="3.5" style="2" customWidth="1"/>
    <col min="10" max="61" width="9" style="3"/>
    <col min="62" max="16384" width="9" style="2"/>
  </cols>
  <sheetData>
    <row r="1" ht="54.75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26.25" customHeight="1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1" customFormat="1" ht="14.1" customHeight="1" spans="1:9">
      <c r="A3" s="6"/>
      <c r="B3" s="7" t="s">
        <v>2</v>
      </c>
      <c r="C3" s="7"/>
      <c r="D3" s="6"/>
      <c r="E3" s="8" t="s">
        <v>3</v>
      </c>
      <c r="F3" s="8"/>
      <c r="G3" s="9"/>
      <c r="H3" s="6"/>
      <c r="I3" s="6"/>
    </row>
    <row r="4" s="1" customFormat="1" ht="28" customHeight="1" spans="1:9">
      <c r="A4" s="10"/>
      <c r="B4" s="11" t="s">
        <v>4</v>
      </c>
      <c r="C4" s="12"/>
      <c r="D4" s="12"/>
      <c r="E4" s="12"/>
      <c r="F4" s="12"/>
      <c r="G4" s="12"/>
      <c r="H4" s="12"/>
      <c r="I4" s="12"/>
    </row>
    <row r="5" s="1" customFormat="1" ht="12" customHeight="1" spans="1:9">
      <c r="A5" s="10"/>
      <c r="B5" s="13" t="s">
        <v>5</v>
      </c>
      <c r="C5" s="14"/>
      <c r="D5" s="14"/>
      <c r="E5" s="14"/>
      <c r="F5" s="14"/>
      <c r="G5" s="14"/>
      <c r="H5" s="14"/>
      <c r="I5" s="14"/>
    </row>
    <row r="6" s="1" customFormat="1" ht="12" customHeight="1" spans="1:9">
      <c r="A6" s="10"/>
      <c r="B6" s="15" t="s">
        <v>6</v>
      </c>
      <c r="C6" s="16"/>
      <c r="D6" s="16"/>
      <c r="E6" s="16"/>
      <c r="F6" s="16"/>
      <c r="G6" s="16"/>
      <c r="H6" s="16"/>
      <c r="I6" s="16"/>
    </row>
    <row r="7" s="1" customFormat="1" ht="21" customHeight="1" spans="1:9">
      <c r="A7" s="10"/>
      <c r="B7" s="17" t="s">
        <v>7</v>
      </c>
      <c r="C7" s="17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7" t="s">
        <v>13</v>
      </c>
      <c r="I7" s="17"/>
    </row>
    <row r="8" ht="12.75" customHeight="1" spans="1:9">
      <c r="A8" s="18"/>
      <c r="B8" s="19" t="s">
        <v>14</v>
      </c>
      <c r="C8" s="19"/>
      <c r="D8" s="19"/>
      <c r="E8" s="19"/>
      <c r="F8" s="19"/>
      <c r="G8" s="19"/>
      <c r="H8" s="19"/>
      <c r="I8" s="19"/>
    </row>
    <row r="9" ht="15" customHeight="1" spans="1:9">
      <c r="A9" s="18"/>
      <c r="B9" s="19" t="s">
        <v>15</v>
      </c>
      <c r="C9" s="19"/>
      <c r="D9" s="19"/>
      <c r="E9" s="19"/>
      <c r="F9" s="19"/>
      <c r="G9" s="19"/>
      <c r="H9" s="19"/>
      <c r="I9" s="19"/>
    </row>
    <row r="10" ht="15" customHeight="1" spans="1:9">
      <c r="A10" s="18"/>
      <c r="B10" s="20" t="s">
        <v>16</v>
      </c>
      <c r="C10" s="20"/>
      <c r="D10" s="20"/>
      <c r="E10" s="20"/>
      <c r="F10" s="20"/>
      <c r="G10" s="20"/>
      <c r="H10" s="20"/>
      <c r="I10" s="20"/>
    </row>
    <row r="11" ht="14.1" customHeight="1" spans="1:9">
      <c r="A11" s="18"/>
      <c r="B11" s="21" t="s">
        <v>17</v>
      </c>
      <c r="C11" s="21"/>
      <c r="D11" s="21"/>
      <c r="E11" s="21"/>
      <c r="F11" s="21"/>
      <c r="G11" s="21"/>
      <c r="H11" s="21"/>
      <c r="I11" s="21"/>
    </row>
    <row r="12" ht="18" customHeight="1" spans="1:9">
      <c r="A12" s="18"/>
      <c r="B12" s="22" t="s">
        <v>18</v>
      </c>
      <c r="C12" s="22" t="s">
        <v>19</v>
      </c>
      <c r="D12" s="23">
        <v>10</v>
      </c>
      <c r="E12" s="23">
        <v>1</v>
      </c>
      <c r="F12" s="24">
        <v>0</v>
      </c>
      <c r="G12" s="25">
        <f>F12*E12</f>
        <v>0</v>
      </c>
      <c r="H12" s="26">
        <f>G12/1450</f>
        <v>0</v>
      </c>
      <c r="I12" s="26"/>
    </row>
    <row r="13" ht="21" customHeight="1" spans="1:9">
      <c r="A13" s="18"/>
      <c r="B13" s="22" t="s">
        <v>20</v>
      </c>
      <c r="C13" s="22" t="s">
        <v>21</v>
      </c>
      <c r="D13" s="23">
        <v>50</v>
      </c>
      <c r="E13" s="23">
        <v>4</v>
      </c>
      <c r="F13" s="24">
        <v>0</v>
      </c>
      <c r="G13" s="25">
        <f>F13*E13</f>
        <v>0</v>
      </c>
      <c r="H13" s="26">
        <f>G13/1450</f>
        <v>0</v>
      </c>
      <c r="I13" s="26"/>
    </row>
    <row r="14" ht="12" customHeight="1" spans="1:9">
      <c r="A14" s="18"/>
      <c r="B14" s="20" t="s">
        <v>22</v>
      </c>
      <c r="C14" s="20"/>
      <c r="D14" s="20"/>
      <c r="E14" s="20"/>
      <c r="F14" s="20"/>
      <c r="G14" s="20"/>
      <c r="H14" s="20"/>
      <c r="I14" s="20"/>
    </row>
    <row r="15" ht="19.5" customHeight="1" spans="1:9">
      <c r="A15" s="18"/>
      <c r="B15" s="27" t="s">
        <v>23</v>
      </c>
      <c r="C15" s="28" t="s">
        <v>24</v>
      </c>
      <c r="D15" s="29">
        <v>20</v>
      </c>
      <c r="E15" s="29">
        <v>1</v>
      </c>
      <c r="F15" s="30">
        <v>35000</v>
      </c>
      <c r="G15" s="30">
        <f>D15*E15*F15</f>
        <v>700000</v>
      </c>
      <c r="H15" s="31">
        <f>G15/1450</f>
        <v>482.758620689655</v>
      </c>
      <c r="I15" s="31"/>
    </row>
    <row r="16" ht="12" customHeight="1" spans="1:9">
      <c r="A16" s="18"/>
      <c r="B16" s="20" t="s">
        <v>25</v>
      </c>
      <c r="C16" s="20"/>
      <c r="D16" s="20"/>
      <c r="E16" s="20"/>
      <c r="F16" s="20"/>
      <c r="G16" s="20"/>
      <c r="H16" s="20"/>
      <c r="I16" s="20"/>
    </row>
    <row r="17" ht="28" customHeight="1" spans="1:9">
      <c r="A17" s="18"/>
      <c r="B17" s="27" t="s">
        <v>26</v>
      </c>
      <c r="C17" s="29" t="s">
        <v>27</v>
      </c>
      <c r="D17" s="29">
        <v>10</v>
      </c>
      <c r="E17" s="29">
        <v>24</v>
      </c>
      <c r="F17" s="32">
        <v>10000</v>
      </c>
      <c r="G17" s="33">
        <f>D17*E17*F17</f>
        <v>2400000</v>
      </c>
      <c r="H17" s="34">
        <f t="shared" ref="H17:H25" si="0">G17/1450</f>
        <v>1655.1724137931</v>
      </c>
      <c r="I17" s="34"/>
    </row>
    <row r="18" ht="21.75" customHeight="1" spans="1:9">
      <c r="A18" s="18"/>
      <c r="B18" s="27" t="s">
        <v>28</v>
      </c>
      <c r="C18" s="29" t="s">
        <v>29</v>
      </c>
      <c r="D18" s="35">
        <v>1</v>
      </c>
      <c r="E18" s="28">
        <v>24</v>
      </c>
      <c r="F18" s="36">
        <v>13000</v>
      </c>
      <c r="G18" s="33">
        <f>D18*E18*F18</f>
        <v>312000</v>
      </c>
      <c r="H18" s="34">
        <f t="shared" si="0"/>
        <v>215.172413793103</v>
      </c>
      <c r="I18" s="34"/>
    </row>
    <row r="19" ht="21.75" customHeight="1" spans="1:9">
      <c r="A19" s="18"/>
      <c r="B19" s="27" t="s">
        <v>30</v>
      </c>
      <c r="C19" s="29" t="s">
        <v>31</v>
      </c>
      <c r="D19" s="35">
        <v>1</v>
      </c>
      <c r="E19" s="28">
        <v>24</v>
      </c>
      <c r="F19" s="36">
        <v>2000</v>
      </c>
      <c r="G19" s="33">
        <f>D19*E19*F19</f>
        <v>48000</v>
      </c>
      <c r="H19" s="34">
        <f t="shared" si="0"/>
        <v>33.1034482758621</v>
      </c>
      <c r="I19" s="34"/>
    </row>
    <row r="20" ht="19" customHeight="1" spans="1:9">
      <c r="A20" s="18"/>
      <c r="B20" s="27" t="s">
        <v>32</v>
      </c>
      <c r="C20" s="28" t="s">
        <v>33</v>
      </c>
      <c r="D20" s="35">
        <v>1</v>
      </c>
      <c r="E20" s="28">
        <v>24</v>
      </c>
      <c r="F20" s="36">
        <v>5000</v>
      </c>
      <c r="G20" s="37">
        <f>D20*E20*F20</f>
        <v>120000</v>
      </c>
      <c r="H20" s="34">
        <f t="shared" si="0"/>
        <v>82.7586206896552</v>
      </c>
      <c r="I20" s="34"/>
    </row>
    <row r="21" ht="18" customHeight="1" spans="1:9">
      <c r="A21" s="18"/>
      <c r="B21" s="20" t="s">
        <v>34</v>
      </c>
      <c r="C21" s="38"/>
      <c r="D21" s="38"/>
      <c r="E21" s="38"/>
      <c r="F21" s="38"/>
      <c r="G21" s="39">
        <f>G20+G19+G18+G17+G15+G13+G12</f>
        <v>3580000</v>
      </c>
      <c r="H21" s="40">
        <f t="shared" si="0"/>
        <v>2468.96551724138</v>
      </c>
      <c r="I21" s="40"/>
    </row>
    <row r="22" ht="15" customHeight="1" spans="1:9">
      <c r="A22" s="18"/>
      <c r="B22" s="41" t="s">
        <v>35</v>
      </c>
      <c r="C22" s="29"/>
      <c r="D22" s="29"/>
      <c r="E22" s="29"/>
      <c r="F22" s="42">
        <v>0.11</v>
      </c>
      <c r="G22" s="43">
        <f>G21*11/100</f>
        <v>393800</v>
      </c>
      <c r="H22" s="44">
        <f t="shared" si="0"/>
        <v>271.586206896552</v>
      </c>
      <c r="I22" s="44"/>
    </row>
    <row r="23" ht="13.5" customHeight="1" spans="1:9">
      <c r="A23" s="45"/>
      <c r="B23" s="20" t="s">
        <v>36</v>
      </c>
      <c r="C23" s="46"/>
      <c r="D23" s="46"/>
      <c r="E23" s="46"/>
      <c r="F23" s="46"/>
      <c r="G23" s="47">
        <f>G21+G22</f>
        <v>3973800</v>
      </c>
      <c r="H23" s="40">
        <f t="shared" si="0"/>
        <v>2740.55172413793</v>
      </c>
      <c r="I23" s="40"/>
    </row>
    <row r="24" ht="13.5" customHeight="1" spans="1:9">
      <c r="A24" s="45"/>
      <c r="B24" s="41" t="s">
        <v>37</v>
      </c>
      <c r="C24" s="29"/>
      <c r="D24" s="29"/>
      <c r="E24" s="29"/>
      <c r="F24" s="42">
        <v>0.18</v>
      </c>
      <c r="G24" s="43">
        <f>G23*18/100</f>
        <v>715284</v>
      </c>
      <c r="H24" s="44">
        <f t="shared" si="0"/>
        <v>493.299310344828</v>
      </c>
      <c r="I24" s="44"/>
    </row>
    <row r="25" ht="13.5" customHeight="1" spans="1:9">
      <c r="A25" s="45"/>
      <c r="B25" s="48" t="s">
        <v>38</v>
      </c>
      <c r="C25" s="46"/>
      <c r="D25" s="46"/>
      <c r="E25" s="46"/>
      <c r="F25" s="46"/>
      <c r="G25" s="47">
        <f>G23+G24</f>
        <v>4689084</v>
      </c>
      <c r="H25" s="40">
        <f t="shared" si="0"/>
        <v>3233.85103448276</v>
      </c>
      <c r="I25" s="40"/>
    </row>
    <row r="26" ht="13.5" customHeight="1" spans="1:9">
      <c r="A26" s="49"/>
      <c r="B26" s="50"/>
      <c r="C26" s="51"/>
      <c r="D26" s="51"/>
      <c r="E26" s="51"/>
      <c r="F26" s="51"/>
      <c r="G26" s="51"/>
      <c r="H26" s="52"/>
      <c r="I26" s="52"/>
    </row>
    <row r="27" ht="15" customHeight="1" spans="1:9">
      <c r="A27" s="53" t="s">
        <v>39</v>
      </c>
      <c r="B27" s="54"/>
      <c r="C27" s="55"/>
      <c r="D27" s="55"/>
      <c r="E27" s="55"/>
      <c r="F27" s="55"/>
      <c r="G27" s="55"/>
      <c r="H27" s="52"/>
      <c r="I27" s="52"/>
    </row>
    <row r="28" ht="15" customHeight="1" spans="1:9">
      <c r="A28" s="53"/>
      <c r="B28" s="54"/>
      <c r="C28" s="56" t="s">
        <v>40</v>
      </c>
      <c r="D28" s="56"/>
      <c r="E28" s="56"/>
      <c r="F28" s="56"/>
      <c r="G28" s="56"/>
      <c r="H28" s="52"/>
      <c r="I28" s="52"/>
    </row>
    <row r="29" ht="15" customHeight="1" spans="1:9">
      <c r="A29" s="57" t="s">
        <v>41</v>
      </c>
      <c r="B29" s="57"/>
      <c r="C29" s="57"/>
      <c r="D29" s="58"/>
      <c r="E29" s="58"/>
      <c r="F29" s="58"/>
      <c r="G29" s="58"/>
      <c r="H29" s="52"/>
      <c r="I29" s="52"/>
    </row>
    <row r="30" ht="15" customHeight="1" spans="1:9">
      <c r="A30" s="57" t="s">
        <v>42</v>
      </c>
      <c r="B30" s="57"/>
      <c r="C30" s="57"/>
      <c r="D30" s="58"/>
      <c r="E30" s="58"/>
      <c r="F30" s="58"/>
      <c r="G30" s="58"/>
      <c r="H30" s="52"/>
      <c r="I30" s="52"/>
    </row>
    <row r="31" ht="6.75" customHeight="1" spans="1:9">
      <c r="A31" s="59"/>
      <c r="B31" s="60"/>
      <c r="C31" s="61"/>
      <c r="D31" s="61"/>
      <c r="E31" s="61"/>
      <c r="F31" s="61"/>
      <c r="G31" s="61"/>
      <c r="H31" s="62"/>
      <c r="I31" s="62"/>
    </row>
    <row r="32" s="2" customFormat="1" ht="6.75" customHeight="1" spans="1:61">
      <c r="A32" s="59"/>
      <c r="B32" s="60"/>
      <c r="C32" s="61"/>
      <c r="D32" s="61"/>
      <c r="E32" s="61"/>
      <c r="F32" s="61"/>
      <c r="G32" s="61"/>
      <c r="H32" s="62"/>
      <c r="I32" s="6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="2" customFormat="1" ht="6.75" customHeight="1" spans="1:61">
      <c r="A33" s="59"/>
      <c r="B33" s="60"/>
      <c r="C33" s="61"/>
      <c r="D33" s="61"/>
      <c r="E33" s="61"/>
      <c r="F33" s="61"/>
      <c r="G33" s="61"/>
      <c r="H33" s="62"/>
      <c r="I33" s="6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ht="15.75" customHeight="1" spans="1:9">
      <c r="A34" s="63" t="s">
        <v>43</v>
      </c>
      <c r="B34" s="63"/>
      <c r="C34" s="63"/>
      <c r="D34" s="63"/>
      <c r="E34" s="63"/>
      <c r="F34" s="63"/>
      <c r="G34" s="63"/>
      <c r="H34" s="63"/>
      <c r="I34" s="1"/>
    </row>
    <row r="35" ht="16.5" customHeight="1" spans="1:9">
      <c r="A35" s="64" t="s">
        <v>44</v>
      </c>
      <c r="B35" s="64"/>
      <c r="C35" s="64"/>
      <c r="D35" s="64"/>
      <c r="E35" s="64"/>
      <c r="F35" s="64"/>
      <c r="G35" s="64"/>
      <c r="H35" s="64"/>
      <c r="I35" s="1"/>
    </row>
    <row r="36" ht="16.5" customHeight="1" spans="1:9">
      <c r="A36" s="64" t="s">
        <v>45</v>
      </c>
      <c r="B36" s="64"/>
      <c r="C36" s="64"/>
      <c r="D36" s="64"/>
      <c r="E36" s="64"/>
      <c r="F36" s="64"/>
      <c r="G36" s="64"/>
      <c r="H36" s="64"/>
      <c r="I36" s="1"/>
    </row>
    <row r="37" ht="16.5" customHeight="1" spans="1:9">
      <c r="A37" s="64"/>
      <c r="B37" s="64"/>
      <c r="C37" s="64"/>
      <c r="D37" s="64"/>
      <c r="E37" s="64"/>
      <c r="F37" s="64"/>
      <c r="G37" s="64"/>
      <c r="H37" s="64"/>
      <c r="I37" s="1"/>
    </row>
    <row r="38" ht="15.75" customHeight="1" spans="1:9">
      <c r="A38" s="65" t="s">
        <v>46</v>
      </c>
      <c r="B38" s="65"/>
      <c r="C38" s="65"/>
      <c r="D38" s="65"/>
      <c r="E38" s="65"/>
      <c r="F38" s="65"/>
      <c r="G38" s="65"/>
      <c r="H38" s="65"/>
      <c r="I38" s="1"/>
    </row>
    <row r="39" ht="15.75" customHeight="1" spans="1:9">
      <c r="A39" s="65"/>
      <c r="B39" s="16" t="s">
        <v>47</v>
      </c>
      <c r="C39" s="16"/>
      <c r="D39" s="16"/>
      <c r="E39" s="16"/>
      <c r="F39" s="16"/>
      <c r="G39" s="65"/>
      <c r="H39" s="65"/>
      <c r="I39" s="1"/>
    </row>
    <row r="40" ht="15.75" customHeight="1" spans="1:9">
      <c r="A40" s="66" t="s">
        <v>48</v>
      </c>
      <c r="B40" s="66"/>
      <c r="C40" s="66"/>
      <c r="D40" s="66"/>
      <c r="E40" s="66"/>
      <c r="F40" s="66"/>
      <c r="G40" s="66"/>
      <c r="H40" s="66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</sheetData>
  <mergeCells count="36">
    <mergeCell ref="A1:I1"/>
    <mergeCell ref="A2:I2"/>
    <mergeCell ref="B3:C3"/>
    <mergeCell ref="E3:F3"/>
    <mergeCell ref="H3:I3"/>
    <mergeCell ref="B4:I4"/>
    <mergeCell ref="B5:I5"/>
    <mergeCell ref="B6:I6"/>
    <mergeCell ref="H7:I7"/>
    <mergeCell ref="B8:I8"/>
    <mergeCell ref="B9:I9"/>
    <mergeCell ref="B10:I10"/>
    <mergeCell ref="B11:I11"/>
    <mergeCell ref="H12:I12"/>
    <mergeCell ref="H13:I13"/>
    <mergeCell ref="B14:I14"/>
    <mergeCell ref="H15:I15"/>
    <mergeCell ref="B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A29:C29"/>
    <mergeCell ref="A30:C30"/>
    <mergeCell ref="A34:H34"/>
    <mergeCell ref="A35:H35"/>
    <mergeCell ref="A36:H36"/>
    <mergeCell ref="A38:H38"/>
    <mergeCell ref="B39:F39"/>
    <mergeCell ref="A40:H40"/>
    <mergeCell ref="A4:A22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BB WITH CHOCO SAMPLING ACTV.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 MOMENTUM</dc:creator>
  <cp:lastModifiedBy>gaston gasana</cp:lastModifiedBy>
  <dcterms:created xsi:type="dcterms:W3CDTF">2022-04-20T07:19:00Z</dcterms:created>
  <cp:lastPrinted>2023-08-24T08:18:00Z</cp:lastPrinted>
  <dcterms:modified xsi:type="dcterms:W3CDTF">2025-03-26T12:06:45Z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21B965722BB14BC1BC6519227DA33840_13</vt:lpwstr>
  </property>
  <property fmtid="{D5CDD505-2E9C-101B-9397-08002B2CF9AE}" pid="3" name="KSOProductBuildVer">
    <vt:lpwstr>1033-12.2.0.19805</vt:lpwstr>
  </property>
</Properties>
</file>